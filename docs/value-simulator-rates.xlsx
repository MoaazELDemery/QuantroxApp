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xon" sheetId="2" state="visible" r:id="rId2"/>
    <sheet name="Nodus" sheetId="3" state="visible" r:id="rId3"/>
    <sheet name="Nex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"/>
    <numFmt numFmtId="167" formatCode="$0.0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808080"/>
      <sz val="9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806A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F6E9C"/>
      </patternFill>
    </fill>
    <fill>
      <patternFill patternType="solid">
        <fgColor rgb="006B3FA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0" borderId="1" pivotButton="0" quotePrefix="0" xfId="0"/>
    <xf numFmtId="164" fontId="5" fillId="3" borderId="1" pivotButton="0" quotePrefix="0" xfId="0"/>
    <xf numFmtId="0" fontId="6" fillId="0" borderId="0" pivotButton="0" quotePrefix="0" xfId="0"/>
    <xf numFmtId="3" fontId="5" fillId="3" borderId="1" pivotButton="0" quotePrefix="0" xfId="0"/>
    <xf numFmtId="165" fontId="5" fillId="3" borderId="1" pivotButton="0" quotePrefix="0" xfId="0"/>
    <xf numFmtId="9" fontId="5" fillId="3" borderId="1" pivotButton="0" quotePrefix="0" xfId="0"/>
    <xf numFmtId="0" fontId="3" fillId="4" borderId="0" pivotButton="0" quotePrefix="0" xfId="0"/>
    <xf numFmtId="3" fontId="5" fillId="3" borderId="0" pivotButton="0" quotePrefix="0" xfId="0"/>
    <xf numFmtId="166" fontId="5" fillId="3" borderId="0" pivotButton="0" quotePrefix="0" xfId="0"/>
    <xf numFmtId="164" fontId="5" fillId="3" borderId="0" pivotButton="0" quotePrefix="0" xfId="0"/>
    <xf numFmtId="3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7" fontId="2" fillId="0" borderId="0" pivotButton="0" quotePrefix="0" xfId="0"/>
    <xf numFmtId="165" fontId="5" fillId="3" borderId="0" pivotButton="0" quotePrefix="0" xfId="0"/>
    <xf numFmtId="168" fontId="5" fillId="3" borderId="0" pivotButton="0" quotePrefix="0" xfId="0"/>
    <xf numFmtId="0" fontId="4" fillId="5" borderId="0" pivotButton="0" quotePrefix="0" xfId="0"/>
    <xf numFmtId="0" fontId="0" fillId="5" borderId="0" pivotButton="0" quotePrefix="0" xfId="0"/>
    <xf numFmtId="9" fontId="5" fillId="3" borderId="0" pivotButton="0" quotePrefix="0" xfId="0"/>
    <xf numFmtId="164" fontId="7" fillId="0" borderId="0" pivotButton="0" quotePrefix="0" xfId="0"/>
    <xf numFmtId="0" fontId="4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Quantrox — Value Simulator &amp; Pricing rate card</t>
        </is>
      </c>
    </row>
    <row r="2">
      <c r="A2" t="inlineStr"/>
    </row>
    <row r="3">
      <c r="A3" s="2" t="inlineStr">
        <is>
          <t>This workbook drives the 'Value Simulator' and 'Pricing' sections on the Axon and Nexus solution pages.</t>
        </is>
      </c>
    </row>
    <row r="4">
      <c r="A4" s="3" t="inlineStr">
        <is>
          <t>Edit ONLY the yellow cells with blue text, then send the file back — the website will be updated to match.</t>
        </is>
      </c>
    </row>
    <row r="5">
      <c r="A5" s="2" t="inlineStr">
        <is>
          <t>Black cells are live formulas mirroring the website's math: they recalculate as you change the yellow cells,</t>
        </is>
      </c>
    </row>
    <row r="6">
      <c r="A6" s="2" t="inlineStr">
        <is>
          <t>so the 'Computed results' section always shows exactly what a visitor will see with the default slider values.</t>
        </is>
      </c>
    </row>
    <row r="7">
      <c r="A7" t="inlineStr"/>
    </row>
    <row r="8">
      <c r="A8" s="3" t="inlineStr">
        <is>
          <t>How the simulators work (one sheet per agent):</t>
        </is>
      </c>
    </row>
    <row r="9">
      <c r="A9" s="2" t="inlineStr">
        <is>
          <t xml:space="preserve">  1. RATE CARD — what the customer pays Quantrox. These are the placeholder rates to replace.</t>
        </is>
      </c>
    </row>
    <row r="10">
      <c r="A10" s="2" t="inlineStr">
        <is>
          <t xml:space="preserve">  2. MODEL ASSUMPTIONS — how the value estimate is derived (e.g. share of work the agent absorbs).</t>
        </is>
      </c>
    </row>
    <row r="11">
      <c r="A11" s="2" t="inlineStr">
        <is>
          <t xml:space="preserve">  3. SLIDER DEFAULTS &amp; RANGES — the starting position and travel of each slider a visitor can move.</t>
        </is>
      </c>
    </row>
    <row r="12">
      <c r="A12" s="2" t="inlineStr">
        <is>
          <t xml:space="preserve">  4. COMPUTED RESULTS (do not edit) — the ledger the visitor sees at the default slider values.</t>
        </is>
      </c>
    </row>
    <row r="13">
      <c r="A13" s="2" t="inlineStr">
        <is>
          <t xml:space="preserve">  5. PRICING TIERS — the figures shown on the three pricing cards.</t>
        </is>
      </c>
    </row>
    <row r="14">
      <c r="A14" t="inlineStr"/>
    </row>
    <row r="15">
      <c r="A15" s="3" t="inlineStr">
        <is>
          <t>Axon equations (per month):</t>
        </is>
      </c>
    </row>
    <row r="16">
      <c r="A16" s="2" t="inlineStr">
        <is>
          <t xml:space="preserve">  Requests            = analysts × questions per analyst</t>
        </is>
      </c>
    </row>
    <row r="17">
      <c r="A17" s="2" t="inlineStr">
        <is>
          <t xml:space="preserve">  Queries run         = requests × grounded queries per question</t>
        </is>
      </c>
    </row>
    <row r="18">
      <c r="A18" s="2" t="inlineStr">
        <is>
          <t xml:space="preserve">  You pay             = seats × seat price  +  max(0, queries run − seats × included queries) × overage rate</t>
        </is>
      </c>
    </row>
    <row r="19">
      <c r="A19" s="2" t="inlineStr">
        <is>
          <t xml:space="preserve">  Hours returned      = requests × specialist hours per request × absorption share</t>
        </is>
      </c>
    </row>
    <row r="20">
      <c r="A20" s="2" t="inlineStr">
        <is>
          <t xml:space="preserve">  Value returned      = hours returned × cost per specialist hour  +  held-up projects × weekly delay cost × (queue days × queue reduction ÷ 7)</t>
        </is>
      </c>
    </row>
    <row r="21">
      <c r="A21" s="2" t="inlineStr">
        <is>
          <t xml:space="preserve">  Net value           = value returned − you pay      (annual = × 12)</t>
        </is>
      </c>
    </row>
    <row r="22">
      <c r="A22" t="inlineStr"/>
    </row>
    <row r="23">
      <c r="A23" s="3" t="inlineStr">
        <is>
          <t>Nexus equations (per month):</t>
        </is>
      </c>
    </row>
    <row r="24">
      <c r="A24" s="2" t="inlineStr">
        <is>
          <t xml:space="preserve">  Contained sessions  = contacts × containment share</t>
        </is>
      </c>
    </row>
    <row r="25">
      <c r="A25" s="2" t="inlineStr">
        <is>
          <t xml:space="preserve">  You pay             = text sessions × text rate  +  voice minutes × voice rate  +  executed actions × action rate  +  platform fee</t>
        </is>
      </c>
    </row>
    <row r="26">
      <c r="A26" s="2" t="inlineStr">
        <is>
          <t xml:space="preserve">                        (text sessions = contained × (1 − voice share);  voice minutes = contained × voice share × avg length;  actions = contained × actions per session)</t>
        </is>
      </c>
    </row>
    <row r="27">
      <c r="A27" s="2" t="inlineStr">
        <is>
          <t xml:space="preserve">  Value returned      = contained × human cost per contact  +  (contained ÷ 1,000) × offers accepted × annual offer margin ÷ 12</t>
        </is>
      </c>
    </row>
    <row r="28">
      <c r="A28" s="2" t="inlineStr">
        <is>
          <t xml:space="preserve">  Net value           = value returned − you pay      (annual = × 12)</t>
        </is>
      </c>
    </row>
    <row r="29">
      <c r="A29" t="inlineStr"/>
    </row>
    <row r="30">
      <c r="A30" s="3" t="inlineStr">
        <is>
          <t>Nodus equations (per month) — the 'build your factory' configurator:</t>
        </is>
      </c>
    </row>
    <row r="31">
      <c r="A31" s="2" t="inlineStr">
        <is>
          <t xml:space="preserve">  You pay             = factory platform fee  +  Σ(role count × role rate)  +  run-time overage</t>
        </is>
      </c>
    </row>
    <row r="32">
      <c r="A32" s="2" t="inlineStr">
        <is>
          <t xml:space="preserve">  Run-time overage    = max(0, included run-hours × (run intensity − 100%)) × 4 run-units/hour × price per run-unit</t>
        </is>
      </c>
    </row>
    <row r="33">
      <c r="A33" s="2" t="inlineStr">
        <is>
          <t xml:space="preserve">                        (included run-hours = Σ(role count × role's included run-hours); 1 run-unit = 15 minutes)</t>
        </is>
      </c>
    </row>
    <row r="34">
      <c r="A34" s="2" t="inlineStr">
        <is>
          <t xml:space="preserve">  Value returned      = roles staffed × engineer loaded cost × absorb share  +  goals per month × weeks earlier × value of one week</t>
        </is>
      </c>
    </row>
    <row r="35">
      <c r="A35" s="2" t="inlineStr">
        <is>
          <t xml:space="preserve">  Net value           = value returned − you pay      (annual = × 12)</t>
        </is>
      </c>
    </row>
    <row r="36">
      <c r="A36" t="inlineStr"/>
    </row>
    <row r="37">
      <c r="A37" s="2" t="inlineStr">
        <is>
          <t>Note: the Nodus stack/language chips are content, not numbers — tell us in chat if you want that list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Axon — The Urban Intelligence Unit</t>
        </is>
      </c>
    </row>
    <row r="3">
      <c r="A3" s="4" t="inlineStr">
        <is>
          <t>1 · RATE CARD (what the customer pays)</t>
        </is>
      </c>
      <c r="B3" s="5" t="n"/>
      <c r="C3" s="5" t="n"/>
      <c r="D3" s="5" t="n"/>
      <c r="E3" s="5" t="n"/>
    </row>
    <row r="4">
      <c r="A4" s="6" t="inlineStr">
        <is>
          <t>Seat price per month ($)</t>
        </is>
      </c>
      <c r="B4" s="7" t="n">
        <v>450</v>
      </c>
      <c r="C4" s="8" t="inlineStr">
        <is>
          <t>Shown in simulator, rates footer and Cloud pricing card</t>
        </is>
      </c>
    </row>
    <row r="5">
      <c r="A5" s="6" t="inlineStr">
        <is>
          <t>Grounded queries included per seat / month</t>
        </is>
      </c>
      <c r="B5" s="9" t="n">
        <v>2000</v>
      </c>
    </row>
    <row r="6">
      <c r="A6" s="6" t="inlineStr">
        <is>
          <t>Overage price per query ($)</t>
        </is>
      </c>
      <c r="B6" s="10" t="n">
        <v>0.08</v>
      </c>
    </row>
    <row r="8">
      <c r="A8" s="4" t="inlineStr">
        <is>
          <t>2 · MODEL ASSUMPTIONS (how value is estimated)</t>
        </is>
      </c>
      <c r="B8" s="5" t="n"/>
      <c r="C8" s="5" t="n"/>
      <c r="D8" s="5" t="n"/>
      <c r="E8" s="5" t="n"/>
    </row>
    <row r="9">
      <c r="A9" s="6" t="inlineStr">
        <is>
          <t>Grounded queries Axon runs per spatial question</t>
        </is>
      </c>
      <c r="B9" s="9" t="n">
        <v>4</v>
      </c>
      <c r="C9" s="8" t="inlineStr">
        <is>
          <t>Each question ≈ several SQL/tool calls</t>
        </is>
      </c>
    </row>
    <row r="10">
      <c r="A10" s="6" t="inlineStr">
        <is>
          <t>Share of routine requests Axon absorbs</t>
        </is>
      </c>
      <c r="B10" s="11" t="n">
        <v>0.8</v>
      </c>
      <c r="C10" s="8" t="inlineStr">
        <is>
          <t>Drives 'hours returned'; footnote says 80%</t>
        </is>
      </c>
    </row>
    <row r="11">
      <c r="A11" s="6" t="inlineStr">
        <is>
          <t>Share of today's queue wait removed</t>
        </is>
      </c>
      <c r="B11" s="11" t="n">
        <v>0.75</v>
      </c>
      <c r="C11" s="8" t="inlineStr">
        <is>
          <t>Drives 'project delay avoided'; footnote says three quarters</t>
        </is>
      </c>
    </row>
    <row r="13">
      <c r="A13" s="4" t="inlineStr">
        <is>
          <t>3 · SLIDER DEFAULTS &amp; RANGES</t>
        </is>
      </c>
      <c r="B13" s="5" t="n"/>
      <c r="C13" s="5" t="n"/>
      <c r="D13" s="5" t="n"/>
      <c r="E13" s="5" t="n"/>
    </row>
    <row r="14">
      <c r="A14" s="12" t="inlineStr">
        <is>
          <t>Slider</t>
        </is>
      </c>
      <c r="B14" s="12" t="inlineStr">
        <is>
          <t>Default</t>
        </is>
      </c>
      <c r="C14" s="12" t="inlineStr"/>
      <c r="D14" s="12" t="inlineStr">
        <is>
          <t>Min</t>
        </is>
      </c>
      <c r="E14" s="12" t="inlineStr">
        <is>
          <t>Max</t>
        </is>
      </c>
      <c r="F14" s="12" t="inlineStr">
        <is>
          <t>Step</t>
        </is>
      </c>
    </row>
    <row r="15">
      <c r="A15" s="2" t="inlineStr">
        <is>
          <t>Planners and analysts who need spatial answers</t>
        </is>
      </c>
      <c r="B15" s="13" t="n">
        <v>60</v>
      </c>
      <c r="D15" s="13" t="n">
        <v>5</v>
      </c>
      <c r="E15" s="13" t="n">
        <v>500</v>
      </c>
      <c r="F15" s="13" t="n">
        <v>5</v>
      </c>
    </row>
    <row r="16">
      <c r="A16" s="2" t="inlineStr">
        <is>
          <t>Spatial questions each of them asks per month</t>
        </is>
      </c>
      <c r="B16" s="13" t="n">
        <v>8</v>
      </c>
      <c r="D16" s="13" t="n">
        <v>1</v>
      </c>
      <c r="E16" s="13" t="n">
        <v>40</v>
      </c>
      <c r="F16" s="13" t="n">
        <v>1</v>
      </c>
    </row>
    <row r="17">
      <c r="A17" s="2" t="inlineStr">
        <is>
          <t>Projects held up each month waiting for analysis</t>
        </is>
      </c>
      <c r="B17" s="13" t="n">
        <v>6</v>
      </c>
      <c r="D17" s="13" t="n">
        <v>0</v>
      </c>
      <c r="E17" s="13" t="n">
        <v>25</v>
      </c>
      <c r="F17" s="13" t="n">
        <v>1</v>
      </c>
    </row>
    <row r="18">
      <c r="A18" s="2" t="inlineStr">
        <is>
          <t>GIS specialist hours consumed per request</t>
        </is>
      </c>
      <c r="B18" s="14" t="n">
        <v>3.5</v>
      </c>
      <c r="D18" s="14" t="n">
        <v>0.5</v>
      </c>
      <c r="E18" s="14" t="n">
        <v>10</v>
      </c>
      <c r="F18" s="14" t="n">
        <v>0.5</v>
      </c>
    </row>
    <row r="19">
      <c r="A19" s="2" t="inlineStr">
        <is>
          <t>Fully loaded cost per GIS specialist hour ($)</t>
        </is>
      </c>
      <c r="B19" s="15" t="n">
        <v>65</v>
      </c>
      <c r="D19" s="15" t="n">
        <v>30</v>
      </c>
      <c r="E19" s="15" t="n">
        <v>150</v>
      </c>
      <c r="F19" s="15" t="n">
        <v>5</v>
      </c>
    </row>
    <row r="20">
      <c r="A20" s="2" t="inlineStr">
        <is>
          <t>Days a request waits in the queue today</t>
        </is>
      </c>
      <c r="B20" s="14" t="n">
        <v>6</v>
      </c>
      <c r="D20" s="14" t="n">
        <v>0.5</v>
      </c>
      <c r="E20" s="14" t="n">
        <v>15</v>
      </c>
      <c r="F20" s="14" t="n">
        <v>0.5</v>
      </c>
    </row>
    <row r="21">
      <c r="A21" s="2" t="inlineStr">
        <is>
          <t>Cost of one week of project delay ($)</t>
        </is>
      </c>
      <c r="B21" s="15" t="n">
        <v>25000</v>
      </c>
      <c r="D21" s="15" t="n">
        <v>2000</v>
      </c>
      <c r="E21" s="15" t="n">
        <v>150000</v>
      </c>
      <c r="F21" s="15" t="n">
        <v>1000</v>
      </c>
    </row>
    <row r="23">
      <c r="A23" s="4" t="inlineStr">
        <is>
          <t>4 · COMPUTED RESULTS at default sliders (do not edit — live formulas)</t>
        </is>
      </c>
      <c r="B23" s="5" t="n"/>
      <c r="C23" s="5" t="n"/>
      <c r="D23" s="5" t="n"/>
      <c r="E23" s="5" t="n"/>
    </row>
    <row r="24">
      <c r="A24" s="2" t="inlineStr">
        <is>
          <t>Requests per month</t>
        </is>
      </c>
      <c r="B24" s="16">
        <f>B15*B16</f>
        <v/>
      </c>
    </row>
    <row r="25">
      <c r="A25" s="2" t="inlineStr">
        <is>
          <t>Queries run per month</t>
        </is>
      </c>
      <c r="B25" s="16">
        <f>B24*B9</f>
        <v/>
      </c>
    </row>
    <row r="26">
      <c r="A26" s="2" t="inlineStr">
        <is>
          <t>You pay — seats</t>
        </is>
      </c>
      <c r="B26" s="17">
        <f>B15*B4</f>
        <v/>
      </c>
    </row>
    <row r="27">
      <c r="A27" s="2" t="inlineStr">
        <is>
          <t>You pay — query overage</t>
        </is>
      </c>
      <c r="B27" s="17">
        <f>MAX(0,B25-B15*B5)*B6</f>
        <v/>
      </c>
    </row>
    <row r="28">
      <c r="A28" s="3" t="inlineStr">
        <is>
          <t>TOTAL MONTHLY COST</t>
        </is>
      </c>
      <c r="B28" s="18">
        <f>B26+B27</f>
        <v/>
      </c>
    </row>
    <row r="29">
      <c r="A29" s="2" t="inlineStr">
        <is>
          <t>Specialist hours returned</t>
        </is>
      </c>
      <c r="B29" s="16">
        <f>B24*B18*B10</f>
        <v/>
      </c>
    </row>
    <row r="30">
      <c r="A30" s="2" t="inlineStr">
        <is>
          <t>Value — hours returned</t>
        </is>
      </c>
      <c r="B30" s="17">
        <f>B29*B19</f>
        <v/>
      </c>
    </row>
    <row r="31">
      <c r="A31" s="2" t="inlineStr">
        <is>
          <t>Value — project delay avoided</t>
        </is>
      </c>
      <c r="B31" s="17">
        <f>B17*B21*(B20*B11/7)</f>
        <v/>
      </c>
    </row>
    <row r="32">
      <c r="A32" s="3" t="inlineStr">
        <is>
          <t>TOTAL MONTHLY VALUE</t>
        </is>
      </c>
      <c r="B32" s="18">
        <f>B30+B31</f>
        <v/>
      </c>
    </row>
    <row r="33">
      <c r="A33" s="3" t="inlineStr">
        <is>
          <t>NET VALUE PER MONTH</t>
        </is>
      </c>
      <c r="B33" s="18">
        <f>B32-B28</f>
        <v/>
      </c>
    </row>
    <row r="34">
      <c r="A34" s="2" t="inlineStr">
        <is>
          <t>Returned for every $1 spent</t>
        </is>
      </c>
      <c r="B34" s="19">
        <f>IF(B28=0,0,B32/B28)</f>
        <v/>
      </c>
    </row>
    <row r="35">
      <c r="A35" s="3" t="inlineStr">
        <is>
          <t>NET VALUE PER YEAR</t>
        </is>
      </c>
      <c r="B35" s="18">
        <f>B33*12</f>
        <v/>
      </c>
    </row>
    <row r="37">
      <c r="A37" s="4" t="inlineStr">
        <is>
          <t>5 · PRICING TIERS</t>
        </is>
      </c>
      <c r="B37" s="5" t="n"/>
      <c r="C37" s="5" t="n"/>
      <c r="D37" s="5" t="n"/>
      <c r="E37" s="5" t="n"/>
    </row>
    <row r="38">
      <c r="A38" s="12" t="inlineStr">
        <is>
          <t>Item</t>
        </is>
      </c>
      <c r="B38" s="12" t="inlineStr">
        <is>
          <t>Value</t>
        </is>
      </c>
      <c r="C38" s="12" t="inlineStr">
        <is>
          <t>Where it appears</t>
        </is>
      </c>
    </row>
    <row r="39">
      <c r="A39" s="2" t="inlineStr">
        <is>
          <t>Sandbox — trial length (days)</t>
        </is>
      </c>
      <c r="B39" s="13" t="n">
        <v>14</v>
      </c>
      <c r="C39" s="8" t="inlineStr">
        <is>
          <t>Sandbox card: '$0 / 14 days'</t>
        </is>
      </c>
    </row>
    <row r="40">
      <c r="A40" s="2" t="inlineStr">
        <is>
          <t>Sandbox — grounded queries included</t>
        </is>
      </c>
      <c r="B40" s="13" t="n">
        <v>100</v>
      </c>
      <c r="C40" s="8" t="inlineStr">
        <is>
          <t>Sandbox card feature list</t>
        </is>
      </c>
    </row>
    <row r="41">
      <c r="A41" s="2" t="inlineStr">
        <is>
          <t>Sandbox — users / connected datasets</t>
        </is>
      </c>
      <c r="B41" s="13" t="n">
        <v>1</v>
      </c>
      <c r="C41" s="8" t="inlineStr">
        <is>
          <t>Sandbox card: '1 user, 1 connected dataset'</t>
        </is>
      </c>
    </row>
    <row r="42">
      <c r="A42" s="2" t="inlineStr">
        <is>
          <t>Cloud — price per seat / month ($)</t>
        </is>
      </c>
      <c r="B42" s="13" t="n">
        <v>450</v>
      </c>
      <c r="C42" s="8" t="inlineStr">
        <is>
          <t>Cloud card headline (same as rate card above)</t>
        </is>
      </c>
    </row>
    <row r="43">
      <c r="A43" s="2" t="inlineStr">
        <is>
          <t>Cloud — included queries per seat</t>
        </is>
      </c>
      <c r="B43" s="13" t="n">
        <v>2000</v>
      </c>
      <c r="C43" s="8" t="inlineStr">
        <is>
          <t>Cloud card feature list (same as rate card above)</t>
        </is>
      </c>
    </row>
    <row r="44">
      <c r="A44" s="2" t="inlineStr">
        <is>
          <t>Cloud — overage per query ($)</t>
        </is>
      </c>
      <c r="B44" s="20" t="n">
        <v>0.08</v>
      </c>
      <c r="C44" s="8" t="inlineStr">
        <is>
          <t>Cloud card feature list (same as rate card above)</t>
        </is>
      </c>
    </row>
    <row r="45">
      <c r="A45" s="2" t="inlineStr">
        <is>
          <t>Cloud — uptime commitment (%)</t>
        </is>
      </c>
      <c r="B45" s="21" t="n">
        <v>0.995</v>
      </c>
      <c r="C45" s="8" t="inlineStr">
        <is>
          <t>Cloud card: 'Email support, 99.5% uptime'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4" customWidth="1" min="4" max="4"/>
    <col width="12" customWidth="1" min="5" max="5"/>
    <col width="44" customWidth="1" min="6" max="6"/>
  </cols>
  <sheetData>
    <row r="1">
      <c r="A1" s="1" t="inlineStr">
        <is>
          <t>Nodus — The Digital Factory</t>
        </is>
      </c>
    </row>
    <row r="3">
      <c r="A3" s="22" t="inlineStr">
        <is>
          <t>1 · RATE CARD (what the customer pays)</t>
        </is>
      </c>
      <c r="B3" s="23" t="n"/>
      <c r="C3" s="23" t="n"/>
      <c r="D3" s="23" t="n"/>
      <c r="E3" s="23" t="n"/>
    </row>
    <row r="4">
      <c r="A4" s="6" t="inlineStr">
        <is>
          <t>Factory platform fee per month ($)</t>
        </is>
      </c>
      <c r="B4" s="7" t="n">
        <v>3500</v>
      </c>
      <c r="C4" s="8" t="inlineStr">
        <is>
          <t>Also the Factory pricing card headline</t>
        </is>
      </c>
    </row>
    <row r="5">
      <c r="A5" s="6" t="inlineStr">
        <is>
          <t>Overage price per run-unit ($)</t>
        </is>
      </c>
      <c r="B5" s="10" t="n">
        <v>2</v>
      </c>
      <c r="C5" s="8" t="inlineStr">
        <is>
          <t>Charged only past a role's included run-hours</t>
        </is>
      </c>
    </row>
    <row r="6">
      <c r="A6" s="6" t="inlineStr">
        <is>
          <t>Minutes of agent work per run-unit</t>
        </is>
      </c>
      <c r="B6" s="9" t="n">
        <v>15</v>
      </c>
      <c r="C6" s="8" t="inlineStr">
        <is>
          <t>15 min → 4 run-units per run-hour</t>
        </is>
      </c>
    </row>
    <row r="8">
      <c r="A8" s="22" t="inlineStr">
        <is>
          <t>2 · ROLES (rate, allowance and default staffing)</t>
        </is>
      </c>
      <c r="B8" s="23" t="n"/>
      <c r="C8" s="23" t="n"/>
      <c r="D8" s="23" t="n"/>
      <c r="E8" s="23" t="n"/>
    </row>
    <row r="9">
      <c r="A9" s="12" t="inlineStr">
        <is>
          <t>Role</t>
        </is>
      </c>
      <c r="B9" s="12" t="inlineStr">
        <is>
          <t>Rate / month</t>
        </is>
      </c>
      <c r="C9" s="12" t="inlineStr">
        <is>
          <t>Included run-hrs</t>
        </is>
      </c>
      <c r="D9" s="12" t="inlineStr">
        <is>
          <t>Default count</t>
        </is>
      </c>
      <c r="E9" s="12" t="inlineStr"/>
      <c r="F9" s="12" t="inlineStr">
        <is>
          <t>What the role does</t>
        </is>
      </c>
    </row>
    <row r="10">
      <c r="A10" s="2" t="inlineStr">
        <is>
          <t>Engineering Delivery Manager</t>
        </is>
      </c>
      <c r="B10" s="15" t="n">
        <v>1400</v>
      </c>
      <c r="C10" s="13" t="n">
        <v>80</v>
      </c>
      <c r="D10" s="13" t="n">
        <v>1</v>
      </c>
      <c r="F10" s="8" t="inlineStr">
        <is>
          <t>Briefs goals, fans out tasks, chases blockers</t>
        </is>
      </c>
    </row>
    <row r="11">
      <c r="A11" s="2" t="inlineStr">
        <is>
          <t>Business Analyst</t>
        </is>
      </c>
      <c r="B11" s="15" t="n">
        <v>1100</v>
      </c>
      <c r="C11" s="13" t="n">
        <v>80</v>
      </c>
      <c r="D11" s="13" t="n">
        <v>1</v>
      </c>
      <c r="F11" s="8" t="inlineStr">
        <is>
          <t>Turns a BRD into specs, acceptance criteria, traceability</t>
        </is>
      </c>
    </row>
    <row r="12">
      <c r="A12" s="2" t="inlineStr">
        <is>
          <t>Solution Architect</t>
        </is>
      </c>
      <c r="B12" s="15" t="n">
        <v>1800</v>
      </c>
      <c r="C12" s="13" t="n">
        <v>60</v>
      </c>
      <c r="D12" s="13" t="n">
        <v>0</v>
      </c>
      <c r="F12" s="8" t="inlineStr">
        <is>
          <t>Designs, reviews, holds the technical standard</t>
        </is>
      </c>
    </row>
    <row r="13">
      <c r="A13" s="2" t="inlineStr">
        <is>
          <t>Software Engineer</t>
        </is>
      </c>
      <c r="B13" s="15" t="n">
        <v>1200</v>
      </c>
      <c r="C13" s="13" t="n">
        <v>120</v>
      </c>
      <c r="D13" s="13" t="n">
        <v>3</v>
      </c>
      <c r="F13" s="8" t="inlineStr">
        <is>
          <t>Builds against the spec, opens the PR, fixes review comments</t>
        </is>
      </c>
    </row>
    <row r="14">
      <c r="A14" s="2" t="inlineStr">
        <is>
          <t>QA Engineer</t>
        </is>
      </c>
      <c r="B14" s="15" t="n">
        <v>900</v>
      </c>
      <c r="C14" s="13" t="n">
        <v>100</v>
      </c>
      <c r="D14" s="13" t="n">
        <v>1</v>
      </c>
      <c r="F14" s="8" t="inlineStr">
        <is>
          <t>Writes and runs the tests, files defects, verifies fixes</t>
        </is>
      </c>
    </row>
    <row r="15">
      <c r="A15" s="2" t="inlineStr">
        <is>
          <t>DevOps / Release Engineer</t>
        </is>
      </c>
      <c r="B15" s="15" t="n">
        <v>1100</v>
      </c>
      <c r="C15" s="13" t="n">
        <v>80</v>
      </c>
      <c r="D15" s="13" t="n">
        <v>0</v>
      </c>
      <c r="F15" s="8" t="inlineStr">
        <is>
          <t>Pipelines, environments, release notes, rollback plans</t>
        </is>
      </c>
    </row>
    <row r="16">
      <c r="A16" s="2" t="inlineStr">
        <is>
          <t>Security Reviewer</t>
        </is>
      </c>
      <c r="B16" s="15" t="n">
        <v>1400</v>
      </c>
      <c r="C16" s="13" t="n">
        <v>60</v>
      </c>
      <c r="D16" s="13" t="n">
        <v>0</v>
      </c>
      <c r="F16" s="8" t="inlineStr">
        <is>
          <t>Threat review, dependency and secrets scanning, findings</t>
        </is>
      </c>
    </row>
    <row r="17">
      <c r="A17" s="2" t="inlineStr">
        <is>
          <t>Technical Writer</t>
        </is>
      </c>
      <c r="B17" s="15" t="n">
        <v>600</v>
      </c>
      <c r="C17" s="13" t="n">
        <v>60</v>
      </c>
      <c r="D17" s="13" t="n">
        <v>0</v>
      </c>
      <c r="F17" s="8" t="inlineStr">
        <is>
          <t>Docs, runbooks, handover packs, release notes</t>
        </is>
      </c>
    </row>
    <row r="19">
      <c r="A19" s="22" t="inlineStr">
        <is>
          <t>3 · ECONOMICS SLIDER DEFAULTS &amp; RANGES</t>
        </is>
      </c>
      <c r="B19" s="23" t="n"/>
      <c r="C19" s="23" t="n"/>
      <c r="D19" s="23" t="n"/>
      <c r="E19" s="23" t="n"/>
    </row>
    <row r="20">
      <c r="A20" s="12" t="inlineStr">
        <is>
          <t>Slider</t>
        </is>
      </c>
      <c r="B20" s="12" t="inlineStr">
        <is>
          <t>Default</t>
        </is>
      </c>
      <c r="C20" s="12" t="inlineStr"/>
      <c r="D20" s="12" t="inlineStr">
        <is>
          <t>Min</t>
        </is>
      </c>
      <c r="E20" s="12" t="inlineStr">
        <is>
          <t>Max</t>
        </is>
      </c>
      <c r="F20" s="12" t="inlineStr">
        <is>
          <t>Step</t>
        </is>
      </c>
    </row>
    <row r="21">
      <c r="A21" s="2" t="inlineStr">
        <is>
          <t>Fully loaded monthly cost of one engineer ($)</t>
        </is>
      </c>
      <c r="B21" s="15" t="n">
        <v>9500</v>
      </c>
      <c r="D21" s="15" t="n">
        <v>3000</v>
      </c>
      <c r="E21" s="15" t="n">
        <v>30000</v>
      </c>
      <c r="F21" s="15" t="n">
        <v>500</v>
      </c>
    </row>
    <row r="22">
      <c r="A22" s="2" t="inlineStr">
        <is>
          <t>Share of the team's work Nodus can absorb (%)</t>
        </is>
      </c>
      <c r="B22" s="24" t="n">
        <v>0.55</v>
      </c>
      <c r="D22" s="24" t="n">
        <v>0.1</v>
      </c>
      <c r="E22" s="24" t="n">
        <v>0.9</v>
      </c>
      <c r="F22" s="24" t="n">
        <v>0.05</v>
      </c>
    </row>
    <row r="23">
      <c r="A23" s="2" t="inlineStr">
        <is>
          <t>Delivery goals shipped per month</t>
        </is>
      </c>
      <c r="B23" s="13" t="n">
        <v>12</v>
      </c>
      <c r="D23" s="13" t="n">
        <v>1</v>
      </c>
      <c r="E23" s="13" t="n">
        <v>60</v>
      </c>
      <c r="F23" s="13" t="n">
        <v>1</v>
      </c>
    </row>
    <row r="24">
      <c r="A24" s="2" t="inlineStr">
        <is>
          <t>Weeks earlier each goal reaches production</t>
        </is>
      </c>
      <c r="B24" s="14" t="n">
        <v>1.5</v>
      </c>
      <c r="D24" s="14" t="n">
        <v>0</v>
      </c>
      <c r="E24" s="14" t="n">
        <v>6</v>
      </c>
      <c r="F24" s="14" t="n">
        <v>0.5</v>
      </c>
    </row>
    <row r="25">
      <c r="A25" s="2" t="inlineStr">
        <is>
          <t>Value of one week earlier to the business ($)</t>
        </is>
      </c>
      <c r="B25" s="15" t="n">
        <v>3000</v>
      </c>
      <c r="D25" s="15" t="n">
        <v>500</v>
      </c>
      <c r="E25" s="15" t="n">
        <v>50000</v>
      </c>
      <c r="F25" s="15" t="n">
        <v>500</v>
      </c>
    </row>
    <row r="26">
      <c r="A26" s="2" t="inlineStr">
        <is>
          <t>Run intensity per role (%)</t>
        </is>
      </c>
      <c r="B26" s="24" t="n">
        <v>1</v>
      </c>
      <c r="D26" s="24" t="n">
        <v>0.5</v>
      </c>
      <c r="E26" s="24" t="n">
        <v>3</v>
      </c>
      <c r="F26" s="24" t="n">
        <v>0.1</v>
      </c>
    </row>
    <row r="28">
      <c r="A28" s="22" t="inlineStr">
        <is>
          <t>4 · COMPUTED RESULTS at defaults (do not edit — live formulas)</t>
        </is>
      </c>
      <c r="B28" s="23" t="n"/>
      <c r="C28" s="23" t="n"/>
      <c r="D28" s="23" t="n"/>
      <c r="E28" s="23" t="n"/>
    </row>
    <row r="29">
      <c r="A29" s="2" t="inlineStr">
        <is>
          <t>Roles staffed</t>
        </is>
      </c>
      <c r="B29" s="16">
        <f>SUM(D10:D17)</f>
        <v/>
      </c>
    </row>
    <row r="30">
      <c r="A30" s="2" t="inlineStr">
        <is>
          <t>Included run-hours per month</t>
        </is>
      </c>
      <c r="B30" s="16">
        <f>SUMPRODUCT(C10:C17,D10:D17)</f>
        <v/>
      </c>
    </row>
    <row r="31">
      <c r="A31" s="2" t="inlineStr">
        <is>
          <t>You pay — factory platform</t>
        </is>
      </c>
      <c r="B31" s="17">
        <f>B4</f>
        <v/>
      </c>
    </row>
    <row r="32">
      <c r="A32" s="2" t="inlineStr">
        <is>
          <t>You pay — roles staffed</t>
        </is>
      </c>
      <c r="B32" s="17">
        <f>SUMPRODUCT(B10:B17,D10:D17)</f>
        <v/>
      </c>
    </row>
    <row r="33">
      <c r="A33" s="2" t="inlineStr">
        <is>
          <t>Run-units over allowance</t>
        </is>
      </c>
      <c r="B33" s="16">
        <f>MAX(0,B30*(B26-1))*60/B6</f>
        <v/>
      </c>
    </row>
    <row r="34">
      <c r="A34" s="2" t="inlineStr">
        <is>
          <t>You pay — run-time over allowance</t>
        </is>
      </c>
      <c r="B34" s="17">
        <f>B33*B5</f>
        <v/>
      </c>
    </row>
    <row r="35">
      <c r="A35" s="3" t="inlineStr">
        <is>
          <t>TOTAL MONTHLY COST</t>
        </is>
      </c>
      <c r="B35" s="18">
        <f>B31+B32+B34</f>
        <v/>
      </c>
    </row>
    <row r="36">
      <c r="A36" s="2" t="inlineStr">
        <is>
          <t>Value — delivery capacity added</t>
        </is>
      </c>
      <c r="B36" s="17">
        <f>B29*B21*B22</f>
        <v/>
      </c>
    </row>
    <row r="37">
      <c r="A37" s="2" t="inlineStr">
        <is>
          <t>Value — shipping earlier</t>
        </is>
      </c>
      <c r="B37" s="17">
        <f>B23*B24*B25</f>
        <v/>
      </c>
    </row>
    <row r="38">
      <c r="A38" s="3" t="inlineStr">
        <is>
          <t>TOTAL MONTHLY VALUE</t>
        </is>
      </c>
      <c r="B38" s="18">
        <f>B36+B37</f>
        <v/>
      </c>
    </row>
    <row r="39">
      <c r="A39" s="3" t="inlineStr">
        <is>
          <t>NET VALUE PER MONTH</t>
        </is>
      </c>
      <c r="B39" s="18">
        <f>B38-B35</f>
        <v/>
      </c>
    </row>
    <row r="40">
      <c r="A40" s="2" t="inlineStr">
        <is>
          <t>Returned for every $1 spent</t>
        </is>
      </c>
      <c r="B40" s="19">
        <f>IF(B35=0,0,B38/B35)</f>
        <v/>
      </c>
    </row>
    <row r="41">
      <c r="A41" s="3" t="inlineStr">
        <is>
          <t>NET VALUE PER YEAR</t>
        </is>
      </c>
      <c r="B41" s="18">
        <f>B39*12</f>
        <v/>
      </c>
    </row>
    <row r="43">
      <c r="A43" s="22" t="inlineStr">
        <is>
          <t>5 · PRICING TIERS &amp; EXPLAINER</t>
        </is>
      </c>
      <c r="B43" s="23" t="n"/>
      <c r="C43" s="23" t="n"/>
      <c r="D43" s="23" t="n"/>
      <c r="E43" s="23" t="n"/>
    </row>
    <row r="44">
      <c r="A44" s="12" t="inlineStr">
        <is>
          <t>Item</t>
        </is>
      </c>
      <c r="B44" s="12" t="inlineStr">
        <is>
          <t>Value</t>
        </is>
      </c>
      <c r="C44" s="12" t="inlineStr"/>
      <c r="D44" s="12" t="inlineStr"/>
      <c r="E44" s="12" t="inlineStr"/>
      <c r="F44" s="12" t="inlineStr">
        <is>
          <t>Where it appears</t>
        </is>
      </c>
    </row>
    <row r="45">
      <c r="A45" s="2" t="inlineStr">
        <is>
          <t>Pilot — delivery goals included</t>
        </is>
      </c>
      <c r="B45" s="13" t="n">
        <v>1</v>
      </c>
      <c r="F45" s="8" t="inlineStr">
        <is>
          <t>Pilot card: '$0 / one goal'</t>
        </is>
      </c>
    </row>
    <row r="46">
      <c r="A46" s="2" t="inlineStr">
        <is>
          <t>Pilot — max roles staffed by us</t>
        </is>
      </c>
      <c r="B46" s="13" t="n">
        <v>4</v>
      </c>
      <c r="F46" s="8" t="inlineStr">
        <is>
          <t>Pilot card: 'Up to 4 roles staffed by us'</t>
        </is>
      </c>
    </row>
    <row r="47">
      <c r="A47" s="2" t="inlineStr">
        <is>
          <t>Factory — platform fee per month ($)</t>
        </is>
      </c>
      <c r="B47" s="15" t="n">
        <v>3500</v>
      </c>
      <c r="F47" s="8" t="inlineStr">
        <is>
          <t>Factory card headline (same as rate card above)</t>
        </is>
      </c>
    </row>
    <row r="48">
      <c r="A48" s="2" t="inlineStr">
        <is>
          <t>Factory — overage per run-unit ($)</t>
        </is>
      </c>
      <c r="B48" s="20" t="n">
        <v>2</v>
      </c>
      <c r="F48" s="8" t="inlineStr">
        <is>
          <t>Factory card + explainer card 3 (same as rate card above)</t>
        </is>
      </c>
    </row>
    <row r="49">
      <c r="A49" s="2" t="inlineStr">
        <is>
          <t>Factory — uptime commitment (%)</t>
        </is>
      </c>
      <c r="B49" s="21" t="n">
        <v>0.995</v>
      </c>
      <c r="F49" s="8" t="inlineStr">
        <is>
          <t>Factory card: 'Email support, 99.5% uptime'</t>
        </is>
      </c>
    </row>
    <row r="50">
      <c r="A50" s="2" t="inlineStr">
        <is>
          <t>Explainer card 2 role-rate range (auto: min–max of the roles table)</t>
        </is>
      </c>
      <c r="B50" s="25">
        <f>MIN(B10:B17)</f>
        <v/>
      </c>
      <c r="C50" s="25">
        <f>MAX(B10:B17)</f>
        <v/>
      </c>
      <c r="F50" s="8" t="inlineStr">
        <is>
          <t>Explainer card: '$600–$1,800 / role / month'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Nexus — The Customer Success Squad</t>
        </is>
      </c>
    </row>
    <row r="3">
      <c r="A3" s="26" t="inlineStr">
        <is>
          <t>1 · RATE CARD (what the customer pays)</t>
        </is>
      </c>
      <c r="B3" s="27" t="n"/>
      <c r="C3" s="27" t="n"/>
      <c r="D3" s="27" t="n"/>
      <c r="E3" s="27" t="n"/>
    </row>
    <row r="4">
      <c r="A4" s="6" t="inlineStr">
        <is>
          <t>Price per contained text session ($)</t>
        </is>
      </c>
      <c r="B4" s="10" t="n">
        <v>0.28</v>
      </c>
      <c r="C4" s="8" t="inlineStr">
        <is>
          <t>Also the Pay-as-you-go card headline</t>
        </is>
      </c>
    </row>
    <row r="5">
      <c r="A5" s="6" t="inlineStr">
        <is>
          <t>Price per voice minute ($)</t>
        </is>
      </c>
      <c r="B5" s="10" t="n">
        <v>0.09</v>
      </c>
    </row>
    <row r="6">
      <c r="A6" s="6" t="inlineStr">
        <is>
          <t>Price per executed action ($)</t>
        </is>
      </c>
      <c r="B6" s="10" t="n">
        <v>0.05</v>
      </c>
    </row>
    <row r="7">
      <c r="A7" s="6" t="inlineStr">
        <is>
          <t>Platform fee per month ($)</t>
        </is>
      </c>
      <c r="B7" s="7" t="n">
        <v>0</v>
      </c>
      <c r="C7" s="8" t="inlineStr">
        <is>
          <t>Pricing copy says 'no platform fee'</t>
        </is>
      </c>
    </row>
    <row r="9">
      <c r="A9" s="26" t="inlineStr">
        <is>
          <t>2 · SLIDER DEFAULTS &amp; RANGES</t>
        </is>
      </c>
      <c r="B9" s="27" t="n"/>
      <c r="C9" s="27" t="n"/>
      <c r="D9" s="27" t="n"/>
      <c r="E9" s="27" t="n"/>
    </row>
    <row r="10">
      <c r="A10" s="12" t="inlineStr">
        <is>
          <t>Slider</t>
        </is>
      </c>
      <c r="B10" s="12" t="inlineStr">
        <is>
          <t>Default</t>
        </is>
      </c>
      <c r="C10" s="12" t="inlineStr"/>
      <c r="D10" s="12" t="inlineStr">
        <is>
          <t>Min</t>
        </is>
      </c>
      <c r="E10" s="12" t="inlineStr">
        <is>
          <t>Max</t>
        </is>
      </c>
      <c r="F10" s="12" t="inlineStr">
        <is>
          <t>Step</t>
        </is>
      </c>
    </row>
    <row r="11">
      <c r="A11" s="2" t="inlineStr">
        <is>
          <t>Customer contacts per month</t>
        </is>
      </c>
      <c r="B11" s="13" t="n">
        <v>100000</v>
      </c>
      <c r="D11" s="13" t="n">
        <v>5000</v>
      </c>
      <c r="E11" s="13" t="n">
        <v>1000000</v>
      </c>
      <c r="F11" s="13" t="n">
        <v>5000</v>
      </c>
    </row>
    <row r="12">
      <c r="A12" s="2" t="inlineStr">
        <is>
          <t>Handled by Nexus without a human (%)</t>
        </is>
      </c>
      <c r="B12" s="24" t="n">
        <v>0.65</v>
      </c>
      <c r="D12" s="24" t="n">
        <v>0.2</v>
      </c>
      <c r="E12" s="24" t="n">
        <v>0.9</v>
      </c>
      <c r="F12" s="24" t="n">
        <v>0.01</v>
      </c>
    </row>
    <row r="13">
      <c r="A13" s="2" t="inlineStr">
        <is>
          <t>Share arriving by voice (%)</t>
        </is>
      </c>
      <c r="B13" s="24" t="n">
        <v>0.3</v>
      </c>
      <c r="D13" s="24" t="n">
        <v>0</v>
      </c>
      <c r="E13" s="24" t="n">
        <v>1</v>
      </c>
      <c r="F13" s="24" t="n">
        <v>0.05</v>
      </c>
    </row>
    <row r="14">
      <c r="A14" s="2" t="inlineStr">
        <is>
          <t>Average voice session length (min)</t>
        </is>
      </c>
      <c r="B14" s="14" t="n">
        <v>3.5</v>
      </c>
      <c r="D14" s="14" t="n">
        <v>0.5</v>
      </c>
      <c r="E14" s="14" t="n">
        <v>10</v>
      </c>
      <c r="F14" s="14" t="n">
        <v>0.5</v>
      </c>
    </row>
    <row r="15">
      <c r="A15" s="2" t="inlineStr">
        <is>
          <t>Actions executed per contained session</t>
        </is>
      </c>
      <c r="B15" s="14" t="n">
        <v>1.4</v>
      </c>
      <c r="D15" s="14" t="n">
        <v>0</v>
      </c>
      <c r="E15" s="14" t="n">
        <v>5</v>
      </c>
      <c r="F15" s="14" t="n">
        <v>0.1</v>
      </c>
    </row>
    <row r="16">
      <c r="A16" s="2" t="inlineStr">
        <is>
          <t>Cost per human-handled contact ($)</t>
        </is>
      </c>
      <c r="B16" s="20" t="n">
        <v>2.8</v>
      </c>
      <c r="D16" s="20" t="n">
        <v>0.5</v>
      </c>
      <c r="E16" s="20" t="n">
        <v>12</v>
      </c>
      <c r="F16" s="20" t="n">
        <v>0.1</v>
      </c>
    </row>
    <row r="17">
      <c r="A17" s="2" t="inlineStr">
        <is>
          <t>Offers accepted per 1,000 contained sessions</t>
        </is>
      </c>
      <c r="B17" s="13" t="n">
        <v>22</v>
      </c>
      <c r="D17" s="13" t="n">
        <v>0</v>
      </c>
      <c r="E17" s="13" t="n">
        <v>100</v>
      </c>
      <c r="F17" s="13" t="n">
        <v>1</v>
      </c>
    </row>
    <row r="18">
      <c r="A18" s="2" t="inlineStr">
        <is>
          <t>Annual margin on an accepted offer ($)</t>
        </is>
      </c>
      <c r="B18" s="15" t="n">
        <v>320</v>
      </c>
      <c r="D18" s="15" t="n">
        <v>0</v>
      </c>
      <c r="E18" s="15" t="n">
        <v>2000</v>
      </c>
      <c r="F18" s="15" t="n">
        <v>20</v>
      </c>
    </row>
    <row r="20">
      <c r="A20" s="26" t="inlineStr">
        <is>
          <t>3 · COMPUTED RESULTS at default sliders (do not edit — live formulas)</t>
        </is>
      </c>
      <c r="B20" s="27" t="n"/>
      <c r="C20" s="27" t="n"/>
      <c r="D20" s="27" t="n"/>
      <c r="E20" s="27" t="n"/>
    </row>
    <row r="21">
      <c r="A21" s="2" t="inlineStr">
        <is>
          <t>Contained sessions per month</t>
        </is>
      </c>
      <c r="B21" s="16">
        <f>B11*B12</f>
        <v/>
      </c>
    </row>
    <row r="22">
      <c r="A22" s="2" t="inlineStr">
        <is>
          <t>Text sessions</t>
        </is>
      </c>
      <c r="B22" s="16">
        <f>B21*(1-B13)</f>
        <v/>
      </c>
    </row>
    <row r="23">
      <c r="A23" s="2" t="inlineStr">
        <is>
          <t>Voice minutes</t>
        </is>
      </c>
      <c r="B23" s="16">
        <f>B21*B13*B14</f>
        <v/>
      </c>
    </row>
    <row r="24">
      <c r="A24" s="2" t="inlineStr">
        <is>
          <t>Executed actions</t>
        </is>
      </c>
      <c r="B24" s="16">
        <f>B21*B15</f>
        <v/>
      </c>
    </row>
    <row r="25">
      <c r="A25" s="2" t="inlineStr">
        <is>
          <t>You pay — text sessions</t>
        </is>
      </c>
      <c r="B25" s="17">
        <f>B22*B4</f>
        <v/>
      </c>
    </row>
    <row r="26">
      <c r="A26" s="2" t="inlineStr">
        <is>
          <t>You pay — voice minutes</t>
        </is>
      </c>
      <c r="B26" s="17">
        <f>B23*B5</f>
        <v/>
      </c>
    </row>
    <row r="27">
      <c r="A27" s="2" t="inlineStr">
        <is>
          <t>You pay — executed actions</t>
        </is>
      </c>
      <c r="B27" s="17">
        <f>B24*B6</f>
        <v/>
      </c>
    </row>
    <row r="28">
      <c r="A28" s="2" t="inlineStr">
        <is>
          <t>You pay — platform fee</t>
        </is>
      </c>
      <c r="B28" s="17">
        <f>B7</f>
        <v/>
      </c>
    </row>
    <row r="29">
      <c r="A29" s="3" t="inlineStr">
        <is>
          <t>TOTAL MONTHLY COST</t>
        </is>
      </c>
      <c r="B29" s="18">
        <f>SUM(B25:B28)</f>
        <v/>
      </c>
    </row>
    <row r="30">
      <c r="A30" s="2" t="inlineStr">
        <is>
          <t>Value — human handling avoided</t>
        </is>
      </c>
      <c r="B30" s="17">
        <f>B21*B16</f>
        <v/>
      </c>
    </row>
    <row r="31">
      <c r="A31" s="2" t="inlineStr">
        <is>
          <t>Offers accepted per month</t>
        </is>
      </c>
      <c r="B31" s="16">
        <f>B21/1000*B17</f>
        <v/>
      </c>
    </row>
    <row r="32">
      <c r="A32" s="2" t="inlineStr">
        <is>
          <t>Value — margin on accepted offers</t>
        </is>
      </c>
      <c r="B32" s="17">
        <f>B31*B18/12</f>
        <v/>
      </c>
    </row>
    <row r="33">
      <c r="A33" s="3" t="inlineStr">
        <is>
          <t>TOTAL MONTHLY VALUE</t>
        </is>
      </c>
      <c r="B33" s="18">
        <f>B30+B32</f>
        <v/>
      </c>
    </row>
    <row r="34">
      <c r="A34" s="3" t="inlineStr">
        <is>
          <t>NET VALUE PER MONTH</t>
        </is>
      </c>
      <c r="B34" s="18">
        <f>B33-B29</f>
        <v/>
      </c>
    </row>
    <row r="35">
      <c r="A35" s="2" t="inlineStr">
        <is>
          <t>Returned for every $1 spent</t>
        </is>
      </c>
      <c r="B35" s="19">
        <f>IF(B29=0,0,B33/B29)</f>
        <v/>
      </c>
    </row>
    <row r="36">
      <c r="A36" s="3" t="inlineStr">
        <is>
          <t>NET VALUE PER YEAR</t>
        </is>
      </c>
      <c r="B36" s="18">
        <f>B34*12</f>
        <v/>
      </c>
    </row>
    <row r="38">
      <c r="A38" s="26" t="inlineStr">
        <is>
          <t>4 · PRICING TIERS</t>
        </is>
      </c>
      <c r="B38" s="27" t="n"/>
      <c r="C38" s="27" t="n"/>
      <c r="D38" s="27" t="n"/>
      <c r="E38" s="27" t="n"/>
    </row>
    <row r="39">
      <c r="A39" s="12" t="inlineStr">
        <is>
          <t>Item</t>
        </is>
      </c>
      <c r="B39" s="12" t="inlineStr">
        <is>
          <t>Value</t>
        </is>
      </c>
      <c r="C39" s="12" t="inlineStr">
        <is>
          <t>Where it appears</t>
        </is>
      </c>
    </row>
    <row r="40">
      <c r="A40" s="2" t="inlineStr">
        <is>
          <t>Sandbox — free sessions included</t>
        </is>
      </c>
      <c r="B40" s="13" t="n">
        <v>1000</v>
      </c>
      <c r="C40" s="8" t="inlineStr">
        <is>
          <t>Sandbox card + simulator CTA 'Start free with 1,000 sessions'</t>
        </is>
      </c>
    </row>
    <row r="41">
      <c r="A41" s="2" t="inlineStr">
        <is>
          <t>Pay as you go — per contained session ($)</t>
        </is>
      </c>
      <c r="B41" s="20" t="n">
        <v>0.28</v>
      </c>
      <c r="C41" s="8" t="inlineStr">
        <is>
          <t>Card headline (same as rate card above)</t>
        </is>
      </c>
    </row>
    <row r="42">
      <c r="A42" s="2" t="inlineStr">
        <is>
          <t>Pay as you go — per voice minute ($)</t>
        </is>
      </c>
      <c r="B42" s="20" t="n">
        <v>0.09</v>
      </c>
      <c r="C42" s="8" t="inlineStr">
        <is>
          <t>Card feature list (same as rate card above)</t>
        </is>
      </c>
    </row>
    <row r="43">
      <c r="A43" s="2" t="inlineStr">
        <is>
          <t>Pay as you go — per executed action ($)</t>
        </is>
      </c>
      <c r="B43" s="20" t="n">
        <v>0.05</v>
      </c>
      <c r="C43" s="8" t="inlineStr">
        <is>
          <t>Card feature list (same as rate card above)</t>
        </is>
      </c>
    </row>
    <row r="44">
      <c r="A44" s="2" t="inlineStr">
        <is>
          <t>Pay as you go — uptime commitment (%)</t>
        </is>
      </c>
      <c r="B44" s="21" t="n">
        <v>0.995</v>
      </c>
      <c r="C44" s="8" t="inlineStr">
        <is>
          <t>Card: 'Email support, 99.5% uptime'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2026-09-11T10:31:48Z</dcterms:created>
  <dcterms:modified xsi:type="dcterms:W3CDTF">2026-09-11T10:31:48Z</dcterms:modified>
</cp:coreProperties>
</file>